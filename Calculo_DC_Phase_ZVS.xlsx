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ASIM\Downloads\"/>
    </mc:Choice>
  </mc:AlternateContent>
  <xr:revisionPtr revIDLastSave="0" documentId="13_ncr:1_{DE03E68D-D2B8-49AD-8EE6-349B4B3E698F}" xr6:coauthVersionLast="47" xr6:coauthVersionMax="47" xr10:uidLastSave="{00000000-0000-0000-0000-000000000000}"/>
  <bookViews>
    <workbookView xWindow="-96" yWindow="-96" windowWidth="23232" windowHeight="12432" tabRatio="5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1" l="1"/>
  <c r="E35" i="1"/>
  <c r="B35" i="1"/>
  <c r="B28" i="1"/>
  <c r="B26" i="1"/>
  <c r="B31" i="1" s="1"/>
  <c r="B25" i="1"/>
  <c r="B22" i="1"/>
  <c r="B20" i="1"/>
  <c r="B36" i="1" s="1"/>
  <c r="B23" i="1" l="1"/>
  <c r="B24" i="1" s="1"/>
  <c r="B30" i="1" l="1"/>
  <c r="B32" i="1" s="1"/>
  <c r="B27" i="1"/>
  <c r="B29" i="1" s="1"/>
  <c r="E36" i="1" s="1"/>
  <c r="E37" i="1" l="1"/>
</calcChain>
</file>

<file path=xl/sharedStrings.xml><?xml version="1.0" encoding="utf-8"?>
<sst xmlns="http://schemas.openxmlformats.org/spreadsheetml/2006/main" count="72" uniqueCount="71">
  <si>
    <t>CÁLCULO DE DEAD TIME ÓPTIMO ZVS Y SEÑALES PARA GENERADOR DE FUNCIONES</t>
  </si>
  <si>
    <t>① PARÁMETROS DEL MOSFET  ← Rellenar desde datasheet</t>
  </si>
  <si>
    <t>Transistor</t>
  </si>
  <si>
    <t>Nombre del componente</t>
  </si>
  <si>
    <t>td(on)  [ns]</t>
  </si>
  <si>
    <t>Turn-on delay time (datasheet)</t>
  </si>
  <si>
    <t>tr  [ns]</t>
  </si>
  <si>
    <t>Rise time (datasheet)</t>
  </si>
  <si>
    <t>td(off)  [ns]</t>
  </si>
  <si>
    <t>Turn-off delay time (datasheet)</t>
  </si>
  <si>
    <t>tf  [ns]</t>
  </si>
  <si>
    <t>Fall time (datasheet)</t>
  </si>
  <si>
    <t>Margen de seguridad [ns]</t>
  </si>
  <si>
    <t>Tiempo extra sobre t_dead mínimo</t>
  </si>
  <si>
    <t>② PARÁMETROS DEL CONVERTIDOR  ← Rellenar según topología</t>
  </si>
  <si>
    <t>Vbus  [V]</t>
  </si>
  <si>
    <t>Tensión de bus DC</t>
  </si>
  <si>
    <t>Vout  [V]</t>
  </si>
  <si>
    <t>Tensión de salida</t>
  </si>
  <si>
    <t>R_carga  [Ω]</t>
  </si>
  <si>
    <t>Resistencia de carga</t>
  </si>
  <si>
    <t>L  [H]</t>
  </si>
  <si>
    <t>Inductancia de conmutación</t>
  </si>
  <si>
    <t>Frecuencia fs  [Hz]</t>
  </si>
  <si>
    <t>Frecuencia de conmutación</t>
  </si>
  <si>
    <t>③ MODELO Coss  ← Tres puntos de la curva Coss(Vds) del datasheet</t>
  </si>
  <si>
    <t>V1  [V]  /  Coss1  [pF]</t>
  </si>
  <si>
    <t>Punto 1 — tensión baja</t>
  </si>
  <si>
    <t>V2  [V]  /  Coss2  [pF]</t>
  </si>
  <si>
    <t>Punto 2 — tensión media (suele estar en tabla datasheet)</t>
  </si>
  <si>
    <t>V3  [V]  /  Coss3  [pF]</t>
  </si>
  <si>
    <t>Punto 3 — tensión alta ≈ Vbus</t>
  </si>
  <si>
    <t>④ CÁLCULOS INTERMEDIOS  (automáticos)</t>
  </si>
  <si>
    <t>D  (duty cycle)</t>
  </si>
  <si>
    <t>[-]</t>
  </si>
  <si>
    <t>I_out  [A]</t>
  </si>
  <si>
    <t>[A]</t>
  </si>
  <si>
    <t>Periodo T  [ns]</t>
  </si>
  <si>
    <t>[ns]</t>
  </si>
  <si>
    <t>ΔIL  [A]</t>
  </si>
  <si>
    <t>I1 = I_valle  [A]</t>
  </si>
  <si>
    <t>[A]  → debe ser &lt;0 para ZVS</t>
  </si>
  <si>
    <t>Coss_eq  [pF]  (@ V2 — solo referencia)</t>
  </si>
  <si>
    <t>pF — punto central del datasheet (solo informativo)</t>
  </si>
  <si>
    <t>Qoss(Vbus)  [nC]  (integración trapezoidal)</t>
  </si>
  <si>
    <t>[nC]  Qoss ≈ ∫Coss dv por trapecio (3 pts) — compatible con MATLAB</t>
  </si>
  <si>
    <t>t_ZVS  [ns]  (dead time óptimo)</t>
  </si>
  <si>
    <t>[ns]  tiempo descarga Coss = Qoss/|I1|</t>
  </si>
  <si>
    <t>t_dead_sw  [ns]  (mínimo MOSFET)</t>
  </si>
  <si>
    <t>[ns]  MAX(td_on+tr, td_off+tf)</t>
  </si>
  <si>
    <t>t_dead_final  [ns]  (usar este)</t>
  </si>
  <si>
    <t>[ns]  MAX(t_ZVS, t_dead_sw) + margen</t>
  </si>
  <si>
    <t>½·L·I1²  [µJ]</t>
  </si>
  <si>
    <t>[µJ]</t>
  </si>
  <si>
    <t>Qoss·Vbus  [µJ]</t>
  </si>
  <si>
    <t>[µJ]  energía mínima ZVS (Kasper) — Qoss por trapecio</t>
  </si>
  <si>
    <t>Verificación ZVS</t>
  </si>
  <si>
    <t>⑤ SEÑALES PARA EL GENERADOR DE FUNCIONES  (lógica inversa — activo en bajo)</t>
  </si>
  <si>
    <t>Parámetro</t>
  </si>
  <si>
    <t>Canal 1 (S1 high-side)</t>
  </si>
  <si>
    <t>Canal 2 (S2 low-side)</t>
  </si>
  <si>
    <t>Unidad</t>
  </si>
  <si>
    <t xml:space="preserve"> </t>
  </si>
  <si>
    <t>Frecuencia  [Hz]</t>
  </si>
  <si>
    <t>Hz</t>
  </si>
  <si>
    <t>Duty Cycle</t>
  </si>
  <si>
    <t>[0–1]</t>
  </si>
  <si>
    <t>Desfase  [°]</t>
  </si>
  <si>
    <t>°</t>
  </si>
  <si>
    <t>NOTAS:  ① Inputs en azul — cambiar libremente.  ② t_dead_final = MAX(t_ZVS, t_dead_sw_mínimo) + margen.  ③ Qoss(Vbus) se calcula por integración trapezoidal con los 3 puntos del datasheet (Qoss ≈ C1·V1 + (C1+C2)/2·(V2–V1) + (C2+C3)/2·(V3–V2)); error ≈ –5% vs modelo Miftakhutdinov de MATLAB — alinea el criterio ZVS entre herramientas.  ④ I1 debe ser &lt;0 para ZVS — si es ≥0 aumentar L o reducir fs.  ⑤ Desfase S2 es el ángulo a introducir en el canal 2 del generador.</t>
  </si>
  <si>
    <t>IRFP140N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</si>
</sst>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2" x14ac:knownFonts="1">
    <font>
      <sz val="11"/>
      <color theme="1"/>
      <name val="Aptos Narrow"/>
      <family val="2"/>
      <charset val="1"/>
    </font>
    <font>
      <b/>
      <sz val="12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name val="Arial"/>
      <family val="2"/>
      <charset val="1"/>
    </font>
    <font>
      <b/>
      <sz val="10"/>
      <color rgb="FF0000FF"/>
      <name val="Arial"/>
      <family val="2"/>
      <charset val="1"/>
    </font>
    <font>
      <i/>
      <sz val="9"/>
      <color rgb="FF595959"/>
      <name val="Arial"/>
      <family val="2"/>
      <charset val="1"/>
    </font>
    <font>
      <sz val="10"/>
      <color rgb="FF000000"/>
      <name val="Arial"/>
      <family val="2"/>
      <charset val="1"/>
    </font>
    <font>
      <i/>
      <sz val="9"/>
      <name val="Arial"/>
      <family val="2"/>
      <charset val="1"/>
    </font>
    <font>
      <b/>
      <sz val="10"/>
      <name val="Arial"/>
      <family val="2"/>
      <charset val="1"/>
    </font>
    <font>
      <i/>
      <sz val="9"/>
      <color rgb="FF404040"/>
      <name val="Arial"/>
      <family val="2"/>
      <charset val="1"/>
    </font>
    <font>
      <sz val="11"/>
      <color rgb="FFFF0000"/>
      <name val="Aptos Narrow"/>
      <family val="2"/>
      <charset val="1"/>
    </font>
    <font>
      <sz val="11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DEDED"/>
      </patternFill>
    </fill>
    <fill>
      <patternFill patternType="solid">
        <fgColor rgb="FFDAE3F3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3" fillId="4" borderId="1" xfId="0" applyFont="1" applyFill="1" applyBorder="1"/>
    <xf numFmtId="0" fontId="3" fillId="0" borderId="1" xfId="0" applyFont="1" applyBorder="1" applyAlignment="1">
      <alignment horizontal="left" vertical="center"/>
    </xf>
    <xf numFmtId="0" fontId="5" fillId="0" borderId="1" xfId="0" applyFont="1" applyBorder="1"/>
    <xf numFmtId="0" fontId="0" fillId="0" borderId="1" xfId="0" applyBorder="1"/>
    <xf numFmtId="0" fontId="4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7" fillId="0" borderId="1" xfId="0" applyFont="1" applyBorder="1"/>
    <xf numFmtId="164" fontId="6" fillId="6" borderId="1" xfId="0" applyNumberFormat="1" applyFont="1" applyFill="1" applyBorder="1" applyAlignment="1">
      <alignment horizontal="center"/>
    </xf>
    <xf numFmtId="165" fontId="6" fillId="6" borderId="1" xfId="0" applyNumberFormat="1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0" fontId="3" fillId="7" borderId="1" xfId="0" applyFont="1" applyFill="1" applyBorder="1" applyAlignment="1">
      <alignment horizontal="center"/>
    </xf>
    <xf numFmtId="165" fontId="3" fillId="7" borderId="1" xfId="0" applyNumberFormat="1" applyFont="1" applyFill="1" applyBorder="1" applyAlignment="1">
      <alignment horizontal="center"/>
    </xf>
    <xf numFmtId="0" fontId="9" fillId="0" borderId="0" xfId="0" applyFont="1" applyAlignment="1">
      <alignment vertical="top" wrapText="1"/>
    </xf>
    <xf numFmtId="11" fontId="4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2" fontId="0" fillId="0" borderId="0" xfId="0" applyNumberFormat="1" applyBorder="1"/>
    <xf numFmtId="0" fontId="10" fillId="0" borderId="0" xfId="0" applyFont="1" applyBorder="1"/>
    <xf numFmtId="0" fontId="11" fillId="0" borderId="0" xfId="0" applyFont="1" applyBorder="1"/>
    <xf numFmtId="2" fontId="0" fillId="0" borderId="0" xfId="0" applyNumberFormat="1" applyFill="1" applyBorder="1"/>
    <xf numFmtId="0" fontId="10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11" fillId="0" borderId="0" xfId="0" applyFont="1" applyFill="1" applyBorder="1"/>
    <xf numFmtId="0" fontId="2" fillId="0" borderId="0" xfId="0" applyFont="1" applyFill="1" applyAlignment="1">
      <alignment vertical="center" wrapText="1"/>
    </xf>
    <xf numFmtId="0" fontId="3" fillId="0" borderId="0" xfId="0" applyFont="1" applyFill="1"/>
    <xf numFmtId="0" fontId="2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topLeftCell="A4" zoomScale="60" zoomScaleNormal="60" workbookViewId="0">
      <selection activeCell="J15" sqref="J15"/>
    </sheetView>
  </sheetViews>
  <sheetFormatPr baseColWidth="10" defaultColWidth="10.5234375" defaultRowHeight="14.4" x14ac:dyDescent="0.55000000000000004"/>
  <cols>
    <col min="1" max="2" width="38" customWidth="1"/>
    <col min="3" max="3" width="50.20703125" customWidth="1"/>
    <col min="4" max="5" width="38" customWidth="1"/>
    <col min="6" max="6" width="18" customWidth="1"/>
    <col min="7" max="7" width="4" customWidth="1"/>
    <col min="8" max="9" width="5" customWidth="1"/>
    <col min="10" max="10" width="3.68359375" customWidth="1"/>
    <col min="11" max="11" width="10" customWidth="1"/>
    <col min="12" max="12" width="14.578125" customWidth="1"/>
    <col min="13" max="13" width="18.15625" customWidth="1"/>
    <col min="14" max="14" width="12.20703125" bestFit="1" customWidth="1"/>
    <col min="15" max="15" width="11.20703125" bestFit="1" customWidth="1"/>
  </cols>
  <sheetData>
    <row r="1" spans="1:15" ht="30" customHeight="1" x14ac:dyDescent="0.55000000000000004">
      <c r="A1" s="29" t="s">
        <v>0</v>
      </c>
      <c r="B1" s="29"/>
      <c r="C1" s="29"/>
      <c r="D1" s="29"/>
      <c r="E1" s="29"/>
      <c r="F1" s="29"/>
      <c r="G1" s="1"/>
      <c r="H1" s="1"/>
      <c r="I1" s="1"/>
      <c r="J1" s="1"/>
      <c r="K1" s="1"/>
    </row>
    <row r="2" spans="1:15" ht="21.75" customHeight="1" x14ac:dyDescent="0.55000000000000004">
      <c r="A2" s="27" t="s">
        <v>1</v>
      </c>
      <c r="B2" s="27"/>
      <c r="C2" s="27"/>
      <c r="D2" s="27"/>
      <c r="E2" s="27"/>
      <c r="F2" s="27"/>
      <c r="G2" s="41"/>
      <c r="H2" s="41"/>
      <c r="I2" s="3"/>
      <c r="J2" s="2"/>
      <c r="K2" s="2"/>
    </row>
    <row r="3" spans="1:15" ht="18" customHeight="1" x14ac:dyDescent="0.55000000000000004">
      <c r="A3" s="4" t="s">
        <v>2</v>
      </c>
      <c r="B3" s="5" t="s">
        <v>70</v>
      </c>
      <c r="C3" s="6" t="s">
        <v>3</v>
      </c>
      <c r="D3" s="7"/>
      <c r="E3" s="7"/>
      <c r="F3" s="7"/>
      <c r="G3" s="42"/>
      <c r="H3" s="42"/>
      <c r="I3" s="3"/>
      <c r="L3" s="30"/>
      <c r="M3" s="30"/>
    </row>
    <row r="4" spans="1:15" ht="18" customHeight="1" x14ac:dyDescent="0.55000000000000004">
      <c r="A4" s="4" t="s">
        <v>4</v>
      </c>
      <c r="B4" s="5">
        <v>8.1999999999999993</v>
      </c>
      <c r="C4" s="6" t="s">
        <v>5</v>
      </c>
      <c r="D4" s="7"/>
      <c r="E4" s="7"/>
      <c r="F4" s="7"/>
      <c r="G4" s="42"/>
      <c r="H4" s="42"/>
      <c r="I4" s="3"/>
      <c r="L4" s="31"/>
      <c r="M4" s="31"/>
    </row>
    <row r="5" spans="1:15" ht="18" customHeight="1" x14ac:dyDescent="0.55000000000000004">
      <c r="A5" s="4" t="s">
        <v>6</v>
      </c>
      <c r="B5" s="5">
        <v>39</v>
      </c>
      <c r="C5" s="6" t="s">
        <v>7</v>
      </c>
      <c r="D5" s="7"/>
      <c r="E5" s="7"/>
      <c r="F5" s="7"/>
      <c r="G5" s="42"/>
      <c r="H5" s="42"/>
      <c r="I5" s="3"/>
      <c r="L5" s="31"/>
      <c r="M5" s="31"/>
    </row>
    <row r="6" spans="1:15" ht="18" customHeight="1" x14ac:dyDescent="0.55000000000000004">
      <c r="A6" s="4" t="s">
        <v>8</v>
      </c>
      <c r="B6" s="5">
        <v>44</v>
      </c>
      <c r="C6" s="6" t="s">
        <v>9</v>
      </c>
      <c r="D6" s="7"/>
      <c r="E6" s="7"/>
      <c r="F6" s="7"/>
      <c r="G6" s="42"/>
      <c r="H6" s="42"/>
      <c r="I6" s="3"/>
      <c r="L6" s="31"/>
      <c r="M6" s="31"/>
    </row>
    <row r="7" spans="1:15" ht="18" customHeight="1" x14ac:dyDescent="0.55000000000000004">
      <c r="A7" s="4" t="s">
        <v>10</v>
      </c>
      <c r="B7" s="5">
        <v>33</v>
      </c>
      <c r="C7" s="6" t="s">
        <v>11</v>
      </c>
      <c r="D7" s="7"/>
      <c r="E7" s="7"/>
      <c r="F7" s="7"/>
      <c r="G7" s="42"/>
      <c r="H7" s="42"/>
      <c r="I7" s="3"/>
      <c r="L7" s="31"/>
      <c r="M7" s="31"/>
    </row>
    <row r="8" spans="1:15" ht="18" customHeight="1" x14ac:dyDescent="0.55000000000000004">
      <c r="A8" s="4" t="s">
        <v>12</v>
      </c>
      <c r="B8" s="5">
        <v>50</v>
      </c>
      <c r="C8" s="6" t="s">
        <v>13</v>
      </c>
      <c r="D8" s="7"/>
      <c r="E8" s="7"/>
      <c r="F8" s="7"/>
      <c r="G8" s="42"/>
      <c r="H8" s="42"/>
      <c r="I8" s="3"/>
      <c r="L8" s="31"/>
      <c r="M8" s="31"/>
    </row>
    <row r="9" spans="1:15" ht="21.75" customHeight="1" x14ac:dyDescent="0.55000000000000004">
      <c r="A9" s="27" t="s">
        <v>14</v>
      </c>
      <c r="B9" s="27"/>
      <c r="C9" s="27"/>
      <c r="D9" s="27"/>
      <c r="E9" s="27"/>
      <c r="F9" s="27"/>
      <c r="G9" s="43"/>
      <c r="H9" s="43"/>
      <c r="I9" s="3"/>
      <c r="J9" s="3"/>
      <c r="K9" s="3"/>
      <c r="L9" s="31"/>
      <c r="M9" s="31"/>
    </row>
    <row r="10" spans="1:15" ht="18" customHeight="1" x14ac:dyDescent="0.55000000000000004">
      <c r="A10" s="8" t="s">
        <v>15</v>
      </c>
      <c r="B10" s="5">
        <v>65</v>
      </c>
      <c r="C10" s="9" t="s">
        <v>16</v>
      </c>
      <c r="D10" s="10"/>
      <c r="E10" s="10"/>
      <c r="F10" s="10"/>
      <c r="L10" s="31"/>
      <c r="M10" s="31"/>
    </row>
    <row r="11" spans="1:15" ht="18" customHeight="1" x14ac:dyDescent="0.55000000000000004">
      <c r="A11" s="8" t="s">
        <v>17</v>
      </c>
      <c r="B11" s="5">
        <v>32.5</v>
      </c>
      <c r="C11" s="9" t="s">
        <v>18</v>
      </c>
      <c r="D11" s="10"/>
      <c r="E11" s="10"/>
      <c r="F11" s="10"/>
      <c r="L11" s="31"/>
      <c r="M11" s="31"/>
    </row>
    <row r="12" spans="1:15" ht="18" customHeight="1" x14ac:dyDescent="0.55000000000000004">
      <c r="A12" s="8" t="s">
        <v>19</v>
      </c>
      <c r="B12" s="5">
        <v>19</v>
      </c>
      <c r="C12" s="9" t="s">
        <v>20</v>
      </c>
      <c r="D12" s="10"/>
      <c r="E12" s="10"/>
      <c r="F12" s="10"/>
      <c r="L12" s="31"/>
      <c r="M12" s="31"/>
    </row>
    <row r="13" spans="1:15" ht="18" customHeight="1" x14ac:dyDescent="0.55000000000000004">
      <c r="A13" s="8" t="s">
        <v>21</v>
      </c>
      <c r="B13" s="26">
        <v>8.0000000000000007E-5</v>
      </c>
      <c r="C13" s="9" t="s">
        <v>22</v>
      </c>
      <c r="D13" s="10"/>
      <c r="E13" s="10"/>
      <c r="F13" s="10"/>
      <c r="L13" s="31"/>
      <c r="M13" s="31"/>
    </row>
    <row r="14" spans="1:15" ht="18" customHeight="1" x14ac:dyDescent="0.55000000000000004">
      <c r="A14" s="8" t="s">
        <v>23</v>
      </c>
      <c r="B14" s="5">
        <v>50000</v>
      </c>
      <c r="C14" s="9" t="s">
        <v>24</v>
      </c>
      <c r="D14" s="10"/>
      <c r="E14" s="10"/>
      <c r="F14" s="10"/>
      <c r="L14" s="31"/>
      <c r="M14" s="31"/>
    </row>
    <row r="15" spans="1:15" ht="21.75" customHeight="1" x14ac:dyDescent="0.55000000000000004">
      <c r="A15" s="27" t="s">
        <v>25</v>
      </c>
      <c r="B15" s="27"/>
      <c r="C15" s="27"/>
      <c r="D15" s="27"/>
      <c r="E15" s="27"/>
      <c r="F15" s="27"/>
      <c r="G15" s="3"/>
      <c r="H15" s="3"/>
      <c r="I15" s="3"/>
      <c r="J15" s="3"/>
      <c r="K15" s="3"/>
    </row>
    <row r="16" spans="1:15" ht="18" customHeight="1" x14ac:dyDescent="0.55000000000000004">
      <c r="A16" s="8" t="s">
        <v>26</v>
      </c>
      <c r="B16" s="5">
        <v>10</v>
      </c>
      <c r="C16" s="9" t="s">
        <v>27</v>
      </c>
      <c r="D16" s="10"/>
      <c r="E16" s="11">
        <v>500</v>
      </c>
      <c r="F16" s="10"/>
      <c r="L16" s="32"/>
      <c r="M16" s="32"/>
      <c r="N16" s="32"/>
      <c r="O16" s="32"/>
    </row>
    <row r="17" spans="1:15" ht="18" customHeight="1" x14ac:dyDescent="0.55000000000000004">
      <c r="A17" s="8" t="s">
        <v>28</v>
      </c>
      <c r="B17" s="5">
        <v>25</v>
      </c>
      <c r="C17" s="9" t="s">
        <v>29</v>
      </c>
      <c r="D17" s="10"/>
      <c r="E17" s="11">
        <v>330</v>
      </c>
      <c r="F17" s="10"/>
      <c r="L17" s="31"/>
      <c r="M17" s="31"/>
      <c r="N17" s="31"/>
      <c r="O17" s="31"/>
    </row>
    <row r="18" spans="1:15" ht="16.5" customHeight="1" x14ac:dyDescent="0.55000000000000004">
      <c r="A18" s="8" t="s">
        <v>30</v>
      </c>
      <c r="B18" s="5">
        <v>65</v>
      </c>
      <c r="C18" s="9" t="s">
        <v>31</v>
      </c>
      <c r="D18" s="10"/>
      <c r="E18" s="11">
        <v>200</v>
      </c>
      <c r="F18" s="10"/>
      <c r="L18" s="31"/>
      <c r="M18" s="33"/>
      <c r="N18" s="33"/>
      <c r="O18" s="33"/>
    </row>
    <row r="19" spans="1:15" ht="21.75" customHeight="1" x14ac:dyDescent="0.55000000000000004">
      <c r="A19" s="27" t="s">
        <v>32</v>
      </c>
      <c r="B19" s="27"/>
      <c r="C19" s="27"/>
      <c r="D19" s="27"/>
      <c r="E19" s="27"/>
      <c r="F19" s="27"/>
      <c r="G19" s="3"/>
      <c r="H19" s="3"/>
      <c r="I19" s="3"/>
      <c r="J19" s="3"/>
      <c r="K19" s="3"/>
      <c r="L19" s="31"/>
      <c r="M19" s="33"/>
      <c r="N19" s="33"/>
      <c r="O19" s="33"/>
    </row>
    <row r="20" spans="1:15" ht="18" customHeight="1" x14ac:dyDescent="0.55000000000000004">
      <c r="A20" s="12" t="s">
        <v>33</v>
      </c>
      <c r="B20" s="13">
        <f>B11/B10</f>
        <v>0.5</v>
      </c>
      <c r="C20" s="14" t="s">
        <v>34</v>
      </c>
      <c r="D20" s="10"/>
      <c r="E20" s="10"/>
      <c r="F20" s="10"/>
      <c r="L20" s="31"/>
      <c r="M20" s="33"/>
      <c r="N20" s="33"/>
      <c r="O20" s="33"/>
    </row>
    <row r="21" spans="1:15" ht="18" customHeight="1" x14ac:dyDescent="0.55000000000000004">
      <c r="A21" s="12" t="s">
        <v>35</v>
      </c>
      <c r="B21" s="15">
        <f>B11/B12</f>
        <v>1.7105263157894737</v>
      </c>
      <c r="C21" s="14" t="s">
        <v>36</v>
      </c>
      <c r="D21" s="10"/>
      <c r="E21" s="10"/>
      <c r="F21" s="10"/>
      <c r="L21" s="31"/>
      <c r="M21" s="33"/>
      <c r="N21" s="33"/>
      <c r="O21" s="33"/>
    </row>
    <row r="22" spans="1:15" ht="18" customHeight="1" x14ac:dyDescent="0.55000000000000004">
      <c r="A22" s="12" t="s">
        <v>37</v>
      </c>
      <c r="B22" s="16">
        <f>(1/B14)*1000000000</f>
        <v>20000</v>
      </c>
      <c r="C22" s="14" t="s">
        <v>38</v>
      </c>
      <c r="D22" s="10"/>
      <c r="E22" s="10"/>
      <c r="F22" s="10"/>
      <c r="L22" s="34"/>
      <c r="M22" s="33"/>
      <c r="N22" s="33"/>
      <c r="O22" s="33"/>
    </row>
    <row r="23" spans="1:15" ht="18" customHeight="1" x14ac:dyDescent="0.55000000000000004">
      <c r="A23" s="12" t="s">
        <v>39</v>
      </c>
      <c r="B23" s="16">
        <f>B10*B20*(1-B20)/(B13*B14)</f>
        <v>4.0625</v>
      </c>
      <c r="C23" s="14" t="s">
        <v>36</v>
      </c>
      <c r="D23" s="10"/>
      <c r="E23" s="10"/>
      <c r="F23" s="10"/>
      <c r="L23" s="34"/>
      <c r="M23" s="33"/>
      <c r="N23" s="33"/>
      <c r="O23" s="33"/>
    </row>
    <row r="24" spans="1:15" ht="18" customHeight="1" x14ac:dyDescent="0.55000000000000004">
      <c r="A24" s="12" t="s">
        <v>40</v>
      </c>
      <c r="B24" s="16">
        <f>B21-B23/2</f>
        <v>-0.32072368421052633</v>
      </c>
      <c r="C24" s="14" t="s">
        <v>41</v>
      </c>
      <c r="D24" s="10"/>
      <c r="E24" s="10"/>
      <c r="F24" s="10"/>
      <c r="L24" s="31"/>
      <c r="M24" s="31"/>
      <c r="N24" s="31"/>
      <c r="O24" s="31"/>
    </row>
    <row r="25" spans="1:15" ht="18" customHeight="1" x14ac:dyDescent="0.55000000000000004">
      <c r="A25" s="12" t="s">
        <v>42</v>
      </c>
      <c r="B25" s="13">
        <f>E17</f>
        <v>330</v>
      </c>
      <c r="C25" s="14" t="s">
        <v>43</v>
      </c>
      <c r="D25" s="10"/>
      <c r="E25" s="10"/>
      <c r="F25" s="10"/>
      <c r="L25" s="32"/>
      <c r="M25" s="32"/>
      <c r="N25" s="32"/>
      <c r="O25" s="31"/>
    </row>
    <row r="26" spans="1:15" ht="18" customHeight="1" x14ac:dyDescent="0.55000000000000004">
      <c r="A26" s="12" t="s">
        <v>44</v>
      </c>
      <c r="B26" s="13">
        <f>(E16*B16+(E16+E17)/2*(B17-B16)+(E17+E18)/2*(B18-B17))*0.000000000001*1000000000</f>
        <v>21.824999999999999</v>
      </c>
      <c r="C26" s="14" t="s">
        <v>45</v>
      </c>
      <c r="D26" s="10"/>
      <c r="E26" s="10"/>
      <c r="F26" s="10"/>
      <c r="L26" s="31"/>
      <c r="M26" s="31"/>
      <c r="N26" s="31"/>
      <c r="O26" s="31"/>
    </row>
    <row r="27" spans="1:15" ht="18" customHeight="1" x14ac:dyDescent="0.55000000000000004">
      <c r="A27" s="12" t="s">
        <v>46</v>
      </c>
      <c r="B27" s="16">
        <f>IF(B24&lt;0, B26*0.000000001/ABS(B24)*1000000000, "I1≥0: no hay ZVS")</f>
        <v>68.049230769230775</v>
      </c>
      <c r="C27" s="14" t="s">
        <v>47</v>
      </c>
      <c r="D27" s="10"/>
      <c r="E27" s="10"/>
      <c r="F27" s="10"/>
      <c r="K27" s="31"/>
      <c r="L27" s="35"/>
      <c r="M27" s="31"/>
      <c r="N27" s="31"/>
      <c r="O27" s="31"/>
    </row>
    <row r="28" spans="1:15" ht="18" customHeight="1" x14ac:dyDescent="0.55000000000000004">
      <c r="A28" s="12" t="s">
        <v>48</v>
      </c>
      <c r="B28" s="13">
        <f>MAX(B4+B5, B6+B7)</f>
        <v>77</v>
      </c>
      <c r="C28" s="14" t="s">
        <v>49</v>
      </c>
      <c r="D28" s="10"/>
      <c r="E28" s="10"/>
      <c r="F28" s="10"/>
      <c r="K28" s="31"/>
      <c r="L28" s="31"/>
      <c r="M28" s="33"/>
      <c r="N28" s="33"/>
      <c r="O28" s="31"/>
    </row>
    <row r="29" spans="1:15" ht="18" customHeight="1" x14ac:dyDescent="0.55000000000000004">
      <c r="A29" s="12" t="s">
        <v>50</v>
      </c>
      <c r="B29" s="16">
        <f>IF(B24&lt;0, MAX(B27,B28)+B8, B28+B8)</f>
        <v>127</v>
      </c>
      <c r="C29" s="14" t="s">
        <v>51</v>
      </c>
      <c r="D29" s="10"/>
      <c r="E29" s="10"/>
      <c r="F29" s="10"/>
      <c r="K29" s="31"/>
      <c r="L29" s="36"/>
      <c r="M29" s="36"/>
      <c r="N29" s="36"/>
      <c r="O29" s="31"/>
    </row>
    <row r="30" spans="1:15" ht="18" customHeight="1" x14ac:dyDescent="0.55000000000000004">
      <c r="A30" s="12" t="s">
        <v>52</v>
      </c>
      <c r="B30" s="16">
        <f>0.5*B13*B24^2*1000000</f>
        <v>4.1145472645429368</v>
      </c>
      <c r="C30" s="14" t="s">
        <v>53</v>
      </c>
      <c r="D30" s="10"/>
      <c r="E30" s="10"/>
      <c r="F30" s="10"/>
      <c r="K30" s="31"/>
      <c r="L30" s="37"/>
      <c r="M30" s="38"/>
      <c r="N30" s="38"/>
      <c r="O30" s="31"/>
    </row>
    <row r="31" spans="1:15" ht="18" customHeight="1" x14ac:dyDescent="0.55000000000000004">
      <c r="A31" s="12" t="s">
        <v>54</v>
      </c>
      <c r="B31" s="16">
        <f>B26*0.000000001*B10*1000000</f>
        <v>1.418625</v>
      </c>
      <c r="C31" s="14" t="s">
        <v>55</v>
      </c>
      <c r="D31" s="10"/>
      <c r="E31" s="10"/>
      <c r="F31" s="10"/>
      <c r="K31" s="31"/>
      <c r="L31" s="39"/>
      <c r="M31" s="39"/>
      <c r="N31" s="39"/>
      <c r="O31" s="31"/>
    </row>
    <row r="32" spans="1:15" ht="18" customHeight="1" x14ac:dyDescent="0.55000000000000004">
      <c r="A32" s="12" t="s">
        <v>56</v>
      </c>
      <c r="B32" s="17" t="str">
        <f>IF(B24&gt;=0,"I1≥0: NO ZVS",IF(B30&gt;=B31,"✓ ZVS COMPLETO (margen "&amp;TEXT((B30/B31-1)*100,"0.0")&amp;"%%)","✗ ZVS INCOMPLETO (déficit "&amp;TEXT((1-B30/B31)*100,"0.0")&amp;"%)"))</f>
        <v>✓ ZVS COMPLETO (margen 190%%)</v>
      </c>
      <c r="C32" s="18"/>
      <c r="D32" s="10"/>
      <c r="E32" s="10"/>
      <c r="F32" s="10"/>
      <c r="K32" s="31"/>
      <c r="L32" s="38"/>
      <c r="M32" s="38"/>
      <c r="N32" s="38"/>
      <c r="O32" s="33"/>
    </row>
    <row r="33" spans="1:15" ht="21.75" customHeight="1" x14ac:dyDescent="0.55000000000000004">
      <c r="A33" s="27" t="s">
        <v>57</v>
      </c>
      <c r="B33" s="27"/>
      <c r="C33" s="27"/>
      <c r="D33" s="27"/>
      <c r="E33" s="27"/>
      <c r="F33" s="27"/>
      <c r="G33" s="3"/>
      <c r="H33" s="3"/>
      <c r="I33" s="3"/>
      <c r="J33" s="3"/>
      <c r="K33" s="31"/>
      <c r="L33" s="40"/>
      <c r="M33" s="38"/>
      <c r="N33" s="38"/>
      <c r="O33" s="31"/>
    </row>
    <row r="34" spans="1:15" ht="19.5" customHeight="1" x14ac:dyDescent="0.55000000000000004">
      <c r="A34" s="19" t="s">
        <v>58</v>
      </c>
      <c r="B34" s="19" t="s">
        <v>59</v>
      </c>
      <c r="C34" s="10"/>
      <c r="D34" s="20"/>
      <c r="E34" s="19" t="s">
        <v>60</v>
      </c>
      <c r="F34" s="19" t="s">
        <v>61</v>
      </c>
      <c r="H34" s="21"/>
      <c r="I34" s="21" t="s">
        <v>62</v>
      </c>
      <c r="K34" s="31"/>
      <c r="L34" s="38"/>
      <c r="M34" s="36"/>
      <c r="N34" s="36"/>
      <c r="O34" s="31"/>
    </row>
    <row r="35" spans="1:15" ht="18" customHeight="1" x14ac:dyDescent="0.55000000000000004">
      <c r="A35" s="22" t="s">
        <v>63</v>
      </c>
      <c r="B35" s="23">
        <f>B14</f>
        <v>50000</v>
      </c>
      <c r="C35" s="10"/>
      <c r="D35" s="10"/>
      <c r="E35" s="23">
        <f>B14</f>
        <v>50000</v>
      </c>
      <c r="F35" s="14" t="s">
        <v>64</v>
      </c>
      <c r="K35" s="31"/>
      <c r="L35" s="36"/>
      <c r="M35" s="36"/>
      <c r="N35" s="36"/>
      <c r="O35" s="31"/>
    </row>
    <row r="36" spans="1:15" ht="18" customHeight="1" x14ac:dyDescent="0.55000000000000004">
      <c r="A36" s="22" t="s">
        <v>65</v>
      </c>
      <c r="B36" s="23">
        <f>B20</f>
        <v>0.5</v>
      </c>
      <c r="C36" s="10"/>
      <c r="D36" s="10"/>
      <c r="E36" s="24">
        <f>1-(1-B20-((2*(B29-B8)+B8)/B22))</f>
        <v>0.51019999999999999</v>
      </c>
      <c r="F36" s="14" t="s">
        <v>66</v>
      </c>
      <c r="K36" s="31"/>
      <c r="L36" s="38"/>
      <c r="M36" s="38"/>
      <c r="N36" s="38"/>
    </row>
    <row r="37" spans="1:15" ht="18" customHeight="1" x14ac:dyDescent="0.55000000000000004">
      <c r="A37" s="22" t="s">
        <v>67</v>
      </c>
      <c r="B37" s="23">
        <v>0</v>
      </c>
      <c r="C37" s="10"/>
      <c r="D37" s="10"/>
      <c r="E37" s="24">
        <f>360-((1-B20-((2*(B29-B8)+B8)/B22))+(B29/B22))*360</f>
        <v>181.386</v>
      </c>
      <c r="F37" s="14" t="s">
        <v>68</v>
      </c>
    </row>
    <row r="38" spans="1:15" ht="14.25" customHeight="1" x14ac:dyDescent="0.55000000000000004">
      <c r="A38" s="10"/>
      <c r="B38" s="10"/>
      <c r="C38" s="10"/>
      <c r="D38" s="10"/>
      <c r="E38" s="10"/>
      <c r="F38" s="10"/>
    </row>
    <row r="39" spans="1:15" ht="49.5" customHeight="1" x14ac:dyDescent="0.55000000000000004">
      <c r="A39" s="28" t="s">
        <v>69</v>
      </c>
      <c r="B39" s="28"/>
      <c r="C39" s="28"/>
      <c r="D39" s="28"/>
      <c r="E39" s="28"/>
      <c r="F39" s="28"/>
      <c r="G39" s="25"/>
      <c r="H39" s="25"/>
      <c r="I39" s="25"/>
      <c r="J39" s="25"/>
      <c r="K39" s="25"/>
    </row>
  </sheetData>
  <mergeCells count="10">
    <mergeCell ref="L25:N25"/>
    <mergeCell ref="L16:O16"/>
    <mergeCell ref="A33:F33"/>
    <mergeCell ref="A39:F39"/>
    <mergeCell ref="A1:F1"/>
    <mergeCell ref="A2:F2"/>
    <mergeCell ref="A9:F9"/>
    <mergeCell ref="A15:F15"/>
    <mergeCell ref="A19:F19"/>
    <mergeCell ref="L31:N31"/>
  </mergeCell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Angel Barrazueta Tenorio</dc:creator>
  <dc:description/>
  <cp:lastModifiedBy>Wasim Lourighi El Mousaoui</cp:lastModifiedBy>
  <cp:revision>0</cp:revision>
  <dcterms:created xsi:type="dcterms:W3CDTF">2026-01-27T09:21:16Z</dcterms:created>
  <dcterms:modified xsi:type="dcterms:W3CDTF">2026-05-22T08:41:01Z</dcterms:modified>
  <dc:language>en-US</dc:language>
</cp:coreProperties>
</file>